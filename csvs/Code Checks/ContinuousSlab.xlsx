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salop/Desktop/Oxford/Research/edca/csvs/Code Checks/"/>
    </mc:Choice>
  </mc:AlternateContent>
  <xr:revisionPtr revIDLastSave="0" documentId="8_{41BED165-D83B-9C4D-8CBE-D6C9C01BC47A}" xr6:coauthVersionLast="47" xr6:coauthVersionMax="47" xr10:uidLastSave="{00000000-0000-0000-0000-000000000000}"/>
  <bookViews>
    <workbookView xWindow="1080" yWindow="1180" windowWidth="27640" windowHeight="16640" xr2:uid="{23D6AE07-4393-834C-86C3-57C0910D9424}"/>
  </bookViews>
  <sheets>
    <sheet name="Continuous Sla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  <c r="H68" i="1"/>
  <c r="B68" i="1"/>
  <c r="B59" i="1"/>
  <c r="B41" i="1"/>
  <c r="B40" i="1"/>
  <c r="B42" i="1" s="1"/>
  <c r="B39" i="1"/>
  <c r="B10" i="1" s="1"/>
  <c r="H19" i="1"/>
  <c r="D19" i="1"/>
  <c r="B19" i="1"/>
  <c r="C17" i="1"/>
  <c r="B17" i="1"/>
  <c r="C16" i="1"/>
  <c r="C19" i="1" s="1"/>
  <c r="H18" i="1" s="1"/>
  <c r="B16" i="1"/>
  <c r="B15" i="1"/>
  <c r="B8" i="1"/>
  <c r="B33" i="1" l="1"/>
  <c r="B32" i="1"/>
  <c r="B31" i="1"/>
  <c r="B43" i="1"/>
  <c r="B80" i="1" l="1"/>
  <c r="B34" i="1"/>
  <c r="B51" i="1" l="1"/>
  <c r="B82" i="1" s="1"/>
  <c r="B47" i="1"/>
  <c r="B50" i="1"/>
  <c r="B81" i="1" s="1"/>
  <c r="B46" i="1"/>
  <c r="B84" i="1"/>
  <c r="B85" i="1" s="1"/>
  <c r="B83" i="1"/>
  <c r="B54" i="1" l="1"/>
  <c r="B55" i="1" s="1"/>
  <c r="E56" i="1" s="1"/>
  <c r="J68" i="1" l="1"/>
  <c r="K65" i="1" s="1"/>
  <c r="E58" i="1"/>
  <c r="G65" i="1" s="1"/>
  <c r="I68" i="1" s="1"/>
  <c r="K68" i="1" s="1"/>
  <c r="B56" i="1"/>
  <c r="D75" i="1" l="1"/>
  <c r="E72" i="1" s="1"/>
  <c r="D68" i="1"/>
  <c r="E65" i="1" s="1"/>
  <c r="B58" i="1"/>
  <c r="A72" i="1" l="1"/>
  <c r="C75" i="1" s="1"/>
  <c r="E75" i="1" s="1"/>
  <c r="A65" i="1"/>
  <c r="C68" i="1" s="1"/>
  <c r="A77" i="1" l="1"/>
  <c r="E68" i="1"/>
  <c r="C77" i="1"/>
  <c r="B77" i="1"/>
</calcChain>
</file>

<file path=xl/sharedStrings.xml><?xml version="1.0" encoding="utf-8"?>
<sst xmlns="http://schemas.openxmlformats.org/spreadsheetml/2006/main" count="124" uniqueCount="96">
  <si>
    <t>Input Quantities</t>
  </si>
  <si>
    <t>Dimensions</t>
  </si>
  <si>
    <t>Material Properties</t>
  </si>
  <si>
    <t>Slab Length (m)</t>
  </si>
  <si>
    <t>Concrete Compressive Strength (kn)/m^2</t>
  </si>
  <si>
    <t>Slab Width (m)</t>
  </si>
  <si>
    <t>Steel Yield Strength (kn)/m^2</t>
  </si>
  <si>
    <t>Slab Depth (m)</t>
  </si>
  <si>
    <t>Unmodified SLS Stress (kn/m^2)</t>
  </si>
  <si>
    <t>Chord Width (depth + 2 * ( rebar cover + bar links + rebar diameter/2)*slope</t>
  </si>
  <si>
    <t>Wall Thickness (m)</t>
  </si>
  <si>
    <t>Rebar Diameter (m)</t>
  </si>
  <si>
    <t>Environmental Cover</t>
  </si>
  <si>
    <t>Bar Links (m)</t>
  </si>
  <si>
    <t>Deviation Allowance</t>
  </si>
  <si>
    <t>Concrete Density (kn/m^3)</t>
  </si>
  <si>
    <t>Screed Density (kn/m^3)</t>
  </si>
  <si>
    <t>Loading</t>
  </si>
  <si>
    <t>Permanent Load</t>
  </si>
  <si>
    <t>Slab</t>
  </si>
  <si>
    <t>Screed</t>
  </si>
  <si>
    <t>Finishes</t>
  </si>
  <si>
    <t>Services</t>
  </si>
  <si>
    <t>Variable Load</t>
  </si>
  <si>
    <t>Depth (m)</t>
  </si>
  <si>
    <t>Live Load</t>
  </si>
  <si>
    <t>Width (m)</t>
  </si>
  <si>
    <t>Partition Load</t>
  </si>
  <si>
    <t>Density (kn/m^3)</t>
  </si>
  <si>
    <t>Code Loading (kn/m^2)</t>
  </si>
  <si>
    <t>Total Permanet Load</t>
  </si>
  <si>
    <t>Total Load (kn/m^2)</t>
  </si>
  <si>
    <t>Total Variable Load</t>
  </si>
  <si>
    <t>Ultimate Loading (either 6.10 or worst of 6.10a and 6.10b)</t>
  </si>
  <si>
    <t>Note that the phi values in each equation must be added (I'll add in table)</t>
  </si>
  <si>
    <t>If there are additional load patterns (such as wind loads or roof loads, they are multiplied by the phi values)</t>
  </si>
  <si>
    <t>EN 6.10</t>
  </si>
  <si>
    <t>EN 6.10A</t>
  </si>
  <si>
    <t>EN 6.10B</t>
  </si>
  <si>
    <t>Load</t>
  </si>
  <si>
    <t>Phi values</t>
  </si>
  <si>
    <t>Residential</t>
  </si>
  <si>
    <t>Office</t>
  </si>
  <si>
    <t>Congregation</t>
  </si>
  <si>
    <t>Shopping</t>
  </si>
  <si>
    <t>Storage</t>
  </si>
  <si>
    <t>Traffic</t>
  </si>
  <si>
    <t>Parking</t>
  </si>
  <si>
    <t>Roofs</t>
  </si>
  <si>
    <t>Snow</t>
  </si>
  <si>
    <t>Wind</t>
  </si>
  <si>
    <t>Fire</t>
  </si>
  <si>
    <t>Nominal Cover = max(bar diameter, environmental conditions) + cover deviation allowance</t>
  </si>
  <si>
    <t>a1 (end allowance)</t>
  </si>
  <si>
    <t>a2 (end allowance)</t>
  </si>
  <si>
    <t>Effective Span (l_eff)</t>
  </si>
  <si>
    <t>Effective Depth = thickness - nominal cover - bar diameter/2</t>
  </si>
  <si>
    <t>Design Moment</t>
  </si>
  <si>
    <t>M_end = EN6.10 * C2 Coefficient for one-way slab * Effective span^2</t>
  </si>
  <si>
    <t>M_internal = EN6.10 * C2 Coefficient for one-way slab * Effective span^2</t>
  </si>
  <si>
    <t>V_ext = Coefficient * Load * Effective Span</t>
  </si>
  <si>
    <t>V_support</t>
  </si>
  <si>
    <t>Flexural Design (External Spans)</t>
  </si>
  <si>
    <t>Flexural Design (internal spans)</t>
  </si>
  <si>
    <t>Deflection K = moment/width*effective depth^2*cylinder strength</t>
  </si>
  <si>
    <t>z = effective depth/2 * (1+(1-3.53*K)^0.5</t>
  </si>
  <si>
    <t>Required Reinforcement Area = M_ed / z * reinforcement yield strength</t>
  </si>
  <si>
    <t>Trying Allowable Reinforcement</t>
  </si>
  <si>
    <t>rho = A_s/A_c = A_s/(b_w*d_eff+ (b_eff-b_w)h_f) = Area/(width between tension and compression chords*effective depth + (width-chord width) * 100)</t>
  </si>
  <si>
    <t>&lt;&lt; not a percentage, would be 100 times higher if percent</t>
  </si>
  <si>
    <t>rho_0 = f_ck^0.5</t>
  </si>
  <si>
    <t>Deflection</t>
  </si>
  <si>
    <t>End Span</t>
  </si>
  <si>
    <t>Internal Span</t>
  </si>
  <si>
    <t>N span/depth  = 11+1.5sqrt(f_ck)*p_o/rho + 3.2sqrt(f_ck)(rho_o/rho - 1)^1.5</t>
  </si>
  <si>
    <t>K (from 7.4N)</t>
  </si>
  <si>
    <t>F1 (beff/bw)</t>
  </si>
  <si>
    <t>F2</t>
  </si>
  <si>
    <t>F3</t>
  </si>
  <si>
    <t>^^ 1 since no beams or flanges</t>
  </si>
  <si>
    <t>^^ span &lt; 7m</t>
  </si>
  <si>
    <t>Span-depth — found in table (lightly stressed)</t>
  </si>
  <si>
    <t>True L/d</t>
  </si>
  <si>
    <t>Allowable L/d = N * K * F1 * F2 * F3</t>
  </si>
  <si>
    <t>Stress (sigma_s = f_yk/gamma_s * A_sreq/A_sprov) * ((dl+0.3*ll) / total load) * 1.08</t>
  </si>
  <si>
    <t>Max Span</t>
  </si>
  <si>
    <t>Increased Reinforcement</t>
  </si>
  <si>
    <t>Allowable/Actual</t>
  </si>
  <si>
    <t>Actual/Allowable</t>
  </si>
  <si>
    <t>Allowable?</t>
  </si>
  <si>
    <t>Shear</t>
  </si>
  <si>
    <t>k-factor</t>
  </si>
  <si>
    <t>V_ed</t>
  </si>
  <si>
    <t>V_ed interior</t>
  </si>
  <si>
    <t>V_rdc</t>
  </si>
  <si>
    <t>V_rdcmin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</si>
</sst>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92F9-7C5D-0C41-A128-1C4919B01D14}">
  <dimension ref="A1:L85"/>
  <sheetViews>
    <sheetView tabSelected="1" workbookViewId="0">
      <selection activeCell="A10" sqref="A3:B10"/>
    </sheetView>
  </sheetViews>
  <sheetFormatPr baseColWidth="10" defaultRowHeight="16" x14ac:dyDescent="0.2"/>
  <cols>
    <col min="2" max="3" width="12.1640625" bestFit="1" customWidth="1"/>
  </cols>
  <sheetData>
    <row r="1" spans="1:8" x14ac:dyDescent="0.2">
      <c r="A1" t="s">
        <v>0</v>
      </c>
    </row>
    <row r="3" spans="1:8" x14ac:dyDescent="0.2">
      <c r="A3" t="s">
        <v>1</v>
      </c>
      <c r="D3" t="s">
        <v>2</v>
      </c>
    </row>
    <row r="4" spans="1:8" x14ac:dyDescent="0.2">
      <c r="A4" t="s">
        <v>3</v>
      </c>
      <c r="B4">
        <v>5.8</v>
      </c>
      <c r="D4" t="s">
        <v>4</v>
      </c>
      <c r="E4">
        <v>30000</v>
      </c>
    </row>
    <row r="5" spans="1:8" x14ac:dyDescent="0.2">
      <c r="A5" t="s">
        <v>5</v>
      </c>
      <c r="B5">
        <v>1</v>
      </c>
      <c r="D5" t="s">
        <v>6</v>
      </c>
      <c r="E5">
        <v>500000</v>
      </c>
    </row>
    <row r="6" spans="1:8" x14ac:dyDescent="0.2">
      <c r="A6" t="s">
        <v>7</v>
      </c>
      <c r="B6">
        <v>0.17499999999999999</v>
      </c>
      <c r="D6" t="s">
        <v>8</v>
      </c>
      <c r="E6">
        <v>242000</v>
      </c>
    </row>
    <row r="7" spans="1:8" x14ac:dyDescent="0.2">
      <c r="A7" t="s">
        <v>10</v>
      </c>
      <c r="B7">
        <v>0.2</v>
      </c>
      <c r="D7" t="s">
        <v>11</v>
      </c>
      <c r="E7">
        <v>1.2E-2</v>
      </c>
    </row>
    <row r="8" spans="1:8" x14ac:dyDescent="0.2">
      <c r="A8" t="s">
        <v>12</v>
      </c>
      <c r="B8">
        <f>0.015</f>
        <v>1.4999999999999999E-2</v>
      </c>
      <c r="D8" t="s">
        <v>13</v>
      </c>
      <c r="E8">
        <v>8.0000000000000002E-3</v>
      </c>
    </row>
    <row r="9" spans="1:8" x14ac:dyDescent="0.2">
      <c r="A9" t="s">
        <v>14</v>
      </c>
      <c r="B9">
        <v>0.01</v>
      </c>
      <c r="D9" t="s">
        <v>15</v>
      </c>
      <c r="E9">
        <v>25</v>
      </c>
    </row>
    <row r="10" spans="1:8" x14ac:dyDescent="0.2">
      <c r="A10" t="s">
        <v>9</v>
      </c>
      <c r="B10">
        <f>B6+2*(B39+E8+E7/2)/10</f>
        <v>0.18279999999999999</v>
      </c>
      <c r="D10" t="s">
        <v>16</v>
      </c>
      <c r="E10">
        <v>20</v>
      </c>
    </row>
    <row r="13" spans="1:8" x14ac:dyDescent="0.2">
      <c r="A13" s="1" t="s">
        <v>17</v>
      </c>
      <c r="B13" s="1"/>
      <c r="C13" s="1"/>
      <c r="D13" s="1"/>
      <c r="E13" s="1"/>
    </row>
    <row r="14" spans="1:8" x14ac:dyDescent="0.2">
      <c r="A14" s="1" t="s">
        <v>18</v>
      </c>
      <c r="B14" s="1" t="s">
        <v>19</v>
      </c>
      <c r="C14" s="1" t="s">
        <v>20</v>
      </c>
      <c r="D14" s="1" t="s">
        <v>21</v>
      </c>
      <c r="E14" s="1" t="s">
        <v>22</v>
      </c>
      <c r="G14" s="1" t="s">
        <v>23</v>
      </c>
      <c r="H14" s="1"/>
    </row>
    <row r="15" spans="1:8" x14ac:dyDescent="0.2">
      <c r="A15" s="1" t="s">
        <v>24</v>
      </c>
      <c r="B15" s="1">
        <f>B6</f>
        <v>0.17499999999999999</v>
      </c>
      <c r="C15" s="1">
        <v>0.05</v>
      </c>
      <c r="D15" s="1">
        <v>0</v>
      </c>
      <c r="E15" s="1">
        <v>0</v>
      </c>
      <c r="G15" s="1" t="s">
        <v>25</v>
      </c>
      <c r="H15" s="1">
        <v>2.5</v>
      </c>
    </row>
    <row r="16" spans="1:8" x14ac:dyDescent="0.2">
      <c r="A16" s="1" t="s">
        <v>26</v>
      </c>
      <c r="B16" s="1">
        <f>B5</f>
        <v>1</v>
      </c>
      <c r="C16" s="1">
        <f>B5</f>
        <v>1</v>
      </c>
      <c r="D16" s="1">
        <v>0</v>
      </c>
      <c r="E16" s="1">
        <v>0</v>
      </c>
      <c r="G16" s="1" t="s">
        <v>27</v>
      </c>
      <c r="H16" s="1">
        <v>0.8</v>
      </c>
    </row>
    <row r="17" spans="1:8" x14ac:dyDescent="0.2">
      <c r="A17" s="1" t="s">
        <v>28</v>
      </c>
      <c r="B17" s="1">
        <f>E9</f>
        <v>25</v>
      </c>
      <c r="C17" s="1">
        <f>E10</f>
        <v>20</v>
      </c>
      <c r="D17" s="1">
        <v>0</v>
      </c>
      <c r="E17" s="1">
        <v>0</v>
      </c>
    </row>
    <row r="18" spans="1:8" x14ac:dyDescent="0.2">
      <c r="A18" s="1" t="s">
        <v>29</v>
      </c>
      <c r="B18" s="1">
        <v>0</v>
      </c>
      <c r="C18" s="1">
        <v>0</v>
      </c>
      <c r="D18" s="1">
        <v>0.5</v>
      </c>
      <c r="E18" s="1">
        <v>0</v>
      </c>
      <c r="G18" s="2" t="s">
        <v>30</v>
      </c>
      <c r="H18" s="2">
        <f>B19+C19+D19</f>
        <v>5.875</v>
      </c>
    </row>
    <row r="19" spans="1:8" x14ac:dyDescent="0.2">
      <c r="A19" s="1" t="s">
        <v>31</v>
      </c>
      <c r="B19" s="1">
        <f>B15*B16*B17+B18</f>
        <v>4.375</v>
      </c>
      <c r="C19" s="1">
        <f>C15*C16*C17+C18</f>
        <v>1</v>
      </c>
      <c r="D19" s="1">
        <f>D15*D16*D17+D18</f>
        <v>0.5</v>
      </c>
      <c r="E19" s="1">
        <v>0</v>
      </c>
      <c r="G19" s="1" t="s">
        <v>32</v>
      </c>
      <c r="H19" s="1">
        <f>H15+H16+D22</f>
        <v>3.3</v>
      </c>
    </row>
    <row r="27" spans="1:8" x14ac:dyDescent="0.2">
      <c r="A27" t="s">
        <v>33</v>
      </c>
    </row>
    <row r="28" spans="1:8" x14ac:dyDescent="0.2">
      <c r="A28" t="s">
        <v>34</v>
      </c>
    </row>
    <row r="29" spans="1:8" x14ac:dyDescent="0.2">
      <c r="A29" t="s">
        <v>35</v>
      </c>
    </row>
    <row r="31" spans="1:8" x14ac:dyDescent="0.2">
      <c r="A31" s="1" t="s">
        <v>36</v>
      </c>
      <c r="B31" s="1">
        <f>1.35*H18+1.5*H19</f>
        <v>12.88125</v>
      </c>
    </row>
    <row r="32" spans="1:8" x14ac:dyDescent="0.2">
      <c r="A32" s="1" t="s">
        <v>37</v>
      </c>
      <c r="B32" s="1">
        <f>1.35*H18+1.5*H19*C37</f>
        <v>11.39625</v>
      </c>
    </row>
    <row r="33" spans="1:12" x14ac:dyDescent="0.2">
      <c r="A33" s="1" t="s">
        <v>38</v>
      </c>
      <c r="B33" s="1">
        <f>1.25*H18+1.5*H19</f>
        <v>12.293749999999999</v>
      </c>
    </row>
    <row r="34" spans="1:12" x14ac:dyDescent="0.2">
      <c r="A34" s="1" t="s">
        <v>39</v>
      </c>
      <c r="B34" s="1">
        <f>MIN(MAX(B32,B33),B31)</f>
        <v>12.293749999999999</v>
      </c>
    </row>
    <row r="36" spans="1:12" x14ac:dyDescent="0.2">
      <c r="A36" t="s">
        <v>40</v>
      </c>
      <c r="B36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46</v>
      </c>
      <c r="H36" t="s">
        <v>47</v>
      </c>
      <c r="I36" t="s">
        <v>48</v>
      </c>
      <c r="J36" t="s">
        <v>49</v>
      </c>
      <c r="K36" t="s">
        <v>50</v>
      </c>
      <c r="L36" t="s">
        <v>51</v>
      </c>
    </row>
    <row r="37" spans="1:12" x14ac:dyDescent="0.2">
      <c r="B37">
        <v>0.7</v>
      </c>
      <c r="C37">
        <v>0.7</v>
      </c>
      <c r="D37">
        <v>0.7</v>
      </c>
      <c r="E37">
        <v>0.7</v>
      </c>
      <c r="F37">
        <v>1</v>
      </c>
      <c r="G37">
        <v>0.7</v>
      </c>
      <c r="H37">
        <v>0.7</v>
      </c>
      <c r="I37">
        <v>0.7</v>
      </c>
      <c r="J37">
        <v>0.5</v>
      </c>
      <c r="K37">
        <v>0.5</v>
      </c>
      <c r="L37">
        <v>0.6</v>
      </c>
    </row>
    <row r="39" spans="1:12" x14ac:dyDescent="0.2">
      <c r="A39" s="1" t="s">
        <v>52</v>
      </c>
      <c r="B39" s="1">
        <f>MAX(E7,B8)+B9</f>
        <v>2.5000000000000001E-2</v>
      </c>
    </row>
    <row r="40" spans="1:12" x14ac:dyDescent="0.2">
      <c r="A40" s="1" t="s">
        <v>53</v>
      </c>
      <c r="B40" s="1">
        <f>MIN(B6/2, B7/2)</f>
        <v>8.7499999999999994E-2</v>
      </c>
    </row>
    <row r="41" spans="1:12" x14ac:dyDescent="0.2">
      <c r="A41" s="1" t="s">
        <v>54</v>
      </c>
      <c r="B41" s="1">
        <f>MIN(B6/2, B7/2)</f>
        <v>8.7499999999999994E-2</v>
      </c>
    </row>
    <row r="42" spans="1:12" x14ac:dyDescent="0.2">
      <c r="A42" s="1" t="s">
        <v>55</v>
      </c>
      <c r="B42" s="1">
        <f>B40+B41+B4</f>
        <v>5.9749999999999996</v>
      </c>
    </row>
    <row r="43" spans="1:12" x14ac:dyDescent="0.2">
      <c r="A43" s="1" t="s">
        <v>56</v>
      </c>
      <c r="B43" s="1">
        <f>B6-B39-E7/2</f>
        <v>0.14399999999999999</v>
      </c>
    </row>
    <row r="44" spans="1:12" x14ac:dyDescent="0.2">
      <c r="A44" s="1"/>
      <c r="B44" s="1"/>
    </row>
    <row r="45" spans="1:12" x14ac:dyDescent="0.2">
      <c r="A45" t="s">
        <v>57</v>
      </c>
    </row>
    <row r="46" spans="1:12" x14ac:dyDescent="0.2">
      <c r="A46" t="s">
        <v>58</v>
      </c>
      <c r="B46">
        <f>0.086*B34*B42^2</f>
        <v>37.744932039062483</v>
      </c>
    </row>
    <row r="47" spans="1:12" x14ac:dyDescent="0.2">
      <c r="A47" t="s">
        <v>59</v>
      </c>
      <c r="B47">
        <f>0.063*B34*B42^2</f>
        <v>27.650357191406243</v>
      </c>
    </row>
    <row r="50" spans="1:11" x14ac:dyDescent="0.2">
      <c r="A50" t="s">
        <v>60</v>
      </c>
      <c r="B50">
        <f>0.4*B34*B42</f>
        <v>29.3820625</v>
      </c>
    </row>
    <row r="51" spans="1:11" x14ac:dyDescent="0.2">
      <c r="A51" t="s">
        <v>61</v>
      </c>
      <c r="B51">
        <f>0.6*B34*B42</f>
        <v>44.073093749999991</v>
      </c>
    </row>
    <row r="53" spans="1:11" x14ac:dyDescent="0.2">
      <c r="A53" t="s">
        <v>62</v>
      </c>
      <c r="D53" t="s">
        <v>63</v>
      </c>
    </row>
    <row r="54" spans="1:11" x14ac:dyDescent="0.2">
      <c r="A54" t="s">
        <v>64</v>
      </c>
      <c r="B54">
        <f>B46/(B5*(B43)^2*E4)</f>
        <v>6.0675366575139028E-2</v>
      </c>
    </row>
    <row r="55" spans="1:11" x14ac:dyDescent="0.2">
      <c r="A55" t="s">
        <v>65</v>
      </c>
      <c r="B55">
        <f>B43/2 * (1+SQRT(1-3.53*B54))</f>
        <v>0.13582530780067503</v>
      </c>
    </row>
    <row r="56" spans="1:11" x14ac:dyDescent="0.2">
      <c r="A56" t="s">
        <v>66</v>
      </c>
      <c r="B56">
        <f>B46/(B55*E5/1.15)</f>
        <v>6.3915440425316855E-4</v>
      </c>
      <c r="D56" t="s">
        <v>66</v>
      </c>
      <c r="E56">
        <f>B47/(B55*E5/1.15)</f>
        <v>4.6821776125522823E-4</v>
      </c>
    </row>
    <row r="57" spans="1:11" x14ac:dyDescent="0.2">
      <c r="A57" t="s">
        <v>67</v>
      </c>
      <c r="B57">
        <v>6.4499999999999996E-4</v>
      </c>
      <c r="D57" t="s">
        <v>67</v>
      </c>
      <c r="E57">
        <v>5.0199999999999995E-4</v>
      </c>
    </row>
    <row r="58" spans="1:11" x14ac:dyDescent="0.2">
      <c r="A58" t="s">
        <v>68</v>
      </c>
      <c r="B58">
        <f>B56/(B5*B43)</f>
        <v>4.4385722517581152E-3</v>
      </c>
      <c r="C58" t="s">
        <v>69</v>
      </c>
      <c r="D58" t="s">
        <v>68</v>
      </c>
      <c r="E58">
        <f>E56/(B5*B43)</f>
        <v>3.2515122309390854E-3</v>
      </c>
    </row>
    <row r="59" spans="1:11" x14ac:dyDescent="0.2">
      <c r="A59" t="s">
        <v>70</v>
      </c>
      <c r="B59">
        <f>SQRT(E4/1000)/1000</f>
        <v>5.4772255750516613E-3</v>
      </c>
    </row>
    <row r="61" spans="1:11" x14ac:dyDescent="0.2">
      <c r="A61" t="s">
        <v>71</v>
      </c>
    </row>
    <row r="62" spans="1:11" x14ac:dyDescent="0.2">
      <c r="A62" t="s">
        <v>72</v>
      </c>
      <c r="G62" t="s">
        <v>73</v>
      </c>
    </row>
    <row r="64" spans="1:11" ht="17" customHeight="1" x14ac:dyDescent="0.2">
      <c r="A64" t="s">
        <v>74</v>
      </c>
      <c r="B64" t="s">
        <v>75</v>
      </c>
      <c r="C64" t="s">
        <v>76</v>
      </c>
      <c r="D64" t="s">
        <v>77</v>
      </c>
      <c r="E64" t="s">
        <v>78</v>
      </c>
      <c r="G64" t="s">
        <v>74</v>
      </c>
      <c r="H64" t="s">
        <v>75</v>
      </c>
      <c r="I64" t="s">
        <v>76</v>
      </c>
      <c r="J64" t="s">
        <v>77</v>
      </c>
      <c r="K64" t="s">
        <v>78</v>
      </c>
    </row>
    <row r="65" spans="1:11" x14ac:dyDescent="0.2">
      <c r="A65">
        <f>11+1.5*SQRT(E4/1000)*(B59/B58)+3.2*SQRT(E4/1000)*(B59/B58 - 1)^1.5</f>
        <v>23.122440604436857</v>
      </c>
      <c r="B65">
        <v>1.3</v>
      </c>
      <c r="C65">
        <v>1</v>
      </c>
      <c r="D65">
        <v>1</v>
      </c>
      <c r="E65">
        <f>310000/D68</f>
        <v>1.1930634436655791</v>
      </c>
      <c r="G65">
        <f>11+1.5*SQRT(E4/1000)*(B59/E58)+3.2*SQRT(E4/1000)*(B59/E58 - 1)^1.5</f>
        <v>34.765990555892252</v>
      </c>
      <c r="H65">
        <v>1.5</v>
      </c>
      <c r="I65">
        <v>1</v>
      </c>
      <c r="J65">
        <v>1</v>
      </c>
      <c r="K65">
        <f>310000/J68</f>
        <v>1.3290826046493662</v>
      </c>
    </row>
    <row r="66" spans="1:11" x14ac:dyDescent="0.2">
      <c r="C66" t="s">
        <v>79</v>
      </c>
      <c r="D66" t="s">
        <v>80</v>
      </c>
      <c r="I66" t="s">
        <v>79</v>
      </c>
      <c r="J66" t="s">
        <v>80</v>
      </c>
    </row>
    <row r="67" spans="1:11" x14ac:dyDescent="0.2">
      <c r="A67" t="s">
        <v>81</v>
      </c>
      <c r="B67" t="s">
        <v>82</v>
      </c>
      <c r="C67" t="s">
        <v>83</v>
      </c>
      <c r="D67" t="s">
        <v>84</v>
      </c>
      <c r="E67" t="s">
        <v>85</v>
      </c>
      <c r="G67" t="s">
        <v>81</v>
      </c>
      <c r="H67" t="s">
        <v>82</v>
      </c>
      <c r="I67" t="s">
        <v>83</v>
      </c>
      <c r="J67" t="s">
        <v>84</v>
      </c>
      <c r="K67" t="s">
        <v>85</v>
      </c>
    </row>
    <row r="68" spans="1:11" x14ac:dyDescent="0.2">
      <c r="A68">
        <v>20</v>
      </c>
      <c r="B68">
        <f>B4/B6</f>
        <v>33.142857142857146</v>
      </c>
      <c r="C68">
        <f>A65*B65*C65*D65*E65</f>
        <v>35.862500197526934</v>
      </c>
      <c r="D68">
        <f>E5/1.15*B56/B57*((H18+0.3*H19)/B34)*1.08</f>
        <v>259835.30184074127</v>
      </c>
      <c r="E68">
        <f>C68*B43</f>
        <v>5.1642000284438785</v>
      </c>
      <c r="G68">
        <v>20</v>
      </c>
      <c r="H68">
        <f>B4/B6</f>
        <v>33.142857142857146</v>
      </c>
      <c r="I68">
        <f>G65*H65*I65*J65*K65</f>
        <v>69.310309921860821</v>
      </c>
      <c r="J68">
        <f>E5/1.15*E56/E57*((H18+0.3*H19)/B34)*1.03</f>
        <v>233243.59141829493</v>
      </c>
      <c r="K68">
        <f>I68*B43</f>
        <v>9.9806846287479569</v>
      </c>
    </row>
    <row r="70" spans="1:11" x14ac:dyDescent="0.2">
      <c r="A70" t="s">
        <v>86</v>
      </c>
      <c r="B70">
        <v>7.54E-4</v>
      </c>
    </row>
    <row r="71" spans="1:11" x14ac:dyDescent="0.2">
      <c r="A71" t="s">
        <v>74</v>
      </c>
      <c r="B71" t="s">
        <v>75</v>
      </c>
      <c r="C71" t="s">
        <v>76</v>
      </c>
      <c r="D71" t="s">
        <v>77</v>
      </c>
      <c r="E71" t="s">
        <v>78</v>
      </c>
    </row>
    <row r="72" spans="1:11" x14ac:dyDescent="0.2">
      <c r="A72">
        <f>11+1.5*SQRT(E4/1000)*(B59/B58)+3.2*SQRT(E4/1000)*(B59/B58 - 1)^1.5</f>
        <v>23.122440604436857</v>
      </c>
      <c r="B72">
        <v>1.3</v>
      </c>
      <c r="C72">
        <v>1</v>
      </c>
      <c r="D72">
        <v>1</v>
      </c>
      <c r="E72">
        <f>310000/D75</f>
        <v>1.3946819170912355</v>
      </c>
    </row>
    <row r="73" spans="1:11" x14ac:dyDescent="0.2">
      <c r="C73" t="s">
        <v>79</v>
      </c>
      <c r="D73" t="s">
        <v>80</v>
      </c>
    </row>
    <row r="74" spans="1:11" x14ac:dyDescent="0.2">
      <c r="A74" t="s">
        <v>81</v>
      </c>
      <c r="B74" t="s">
        <v>82</v>
      </c>
      <c r="C74" t="s">
        <v>83</v>
      </c>
      <c r="D74" t="s">
        <v>84</v>
      </c>
      <c r="E74" t="s">
        <v>85</v>
      </c>
    </row>
    <row r="75" spans="1:11" x14ac:dyDescent="0.2">
      <c r="A75">
        <v>20</v>
      </c>
      <c r="B75">
        <f>B4/B6</f>
        <v>33.142857142857146</v>
      </c>
      <c r="C75">
        <f>A72*B72*C72*D72*E72</f>
        <v>41.922984727031491</v>
      </c>
      <c r="D75">
        <f>E5/1.15*B56/B70*((H18+0.3*H19)/B34)*1.08</f>
        <v>222272.90409453327</v>
      </c>
      <c r="E75">
        <f>C75*B43</f>
        <v>6.0369098006925341</v>
      </c>
    </row>
    <row r="76" spans="1:11" x14ac:dyDescent="0.2">
      <c r="A76" t="s">
        <v>87</v>
      </c>
      <c r="B76" t="s">
        <v>88</v>
      </c>
      <c r="C76" t="s">
        <v>89</v>
      </c>
    </row>
    <row r="77" spans="1:11" x14ac:dyDescent="0.2">
      <c r="A77">
        <f>C68/(B4/B43)</f>
        <v>0.89037931524894454</v>
      </c>
      <c r="B77">
        <f>(B4/B43)/C68</f>
        <v>1.1231168366938153</v>
      </c>
      <c r="C77" t="b">
        <f>C68&lt;(B4/B43)</f>
        <v>1</v>
      </c>
    </row>
    <row r="79" spans="1:11" x14ac:dyDescent="0.2">
      <c r="A79" t="s">
        <v>90</v>
      </c>
    </row>
    <row r="80" spans="1:11" x14ac:dyDescent="0.2">
      <c r="A80" t="s">
        <v>91</v>
      </c>
      <c r="B80">
        <f>MIN(2, 1+SQRT(0.2/B43))</f>
        <v>2</v>
      </c>
    </row>
    <row r="81" spans="1:2" x14ac:dyDescent="0.2">
      <c r="A81" t="s">
        <v>92</v>
      </c>
      <c r="B81">
        <f>B50-(B43+B40)*B33</f>
        <v>26.536059375000001</v>
      </c>
    </row>
    <row r="82" spans="1:2" x14ac:dyDescent="0.2">
      <c r="A82" t="s">
        <v>93</v>
      </c>
      <c r="B82">
        <f>B51-(B43+B40)*B33</f>
        <v>41.227090624999988</v>
      </c>
    </row>
    <row r="83" spans="1:2" x14ac:dyDescent="0.2">
      <c r="A83" t="s">
        <v>94</v>
      </c>
      <c r="B83">
        <f>0.18/1.5 *B80  * ((0.5 * B70/(B43*B5))*E4/1000*100)^0.33 * 1000 * 0.144</f>
        <v>68.227077864930152</v>
      </c>
    </row>
    <row r="84" spans="1:2" x14ac:dyDescent="0.2">
      <c r="A84" t="s">
        <v>95</v>
      </c>
      <c r="B84">
        <f>0.035*B80^1.5*(E4/1000)^0.5*B43*B5*1000</f>
        <v>78.079344259541514</v>
      </c>
    </row>
    <row r="85" spans="1:2" x14ac:dyDescent="0.2">
      <c r="A85" t="s">
        <v>89</v>
      </c>
      <c r="B85" t="b">
        <f>B84&gt;B83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 Slab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Salop</dc:creator>
  <cp:lastModifiedBy>Benjamin Salop</cp:lastModifiedBy>
  <dcterms:created xsi:type="dcterms:W3CDTF">2025-12-16T23:11:15Z</dcterms:created>
  <dcterms:modified xsi:type="dcterms:W3CDTF">2025-12-16T23:11:49Z</dcterms:modified>
</cp:coreProperties>
</file>